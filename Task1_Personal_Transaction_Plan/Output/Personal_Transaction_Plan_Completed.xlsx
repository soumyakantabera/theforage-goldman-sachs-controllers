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Personal Transaction" sheetId="1" state="visible" r:id="rId3"/>
    <sheet name="Expense Tracking" sheetId="2" state="visible" r:id="rId4"/>
    <sheet name="Expenses" sheetId="3" state="visible" r:id="rId5"/>
    <sheet name="Personal Budget" sheetId="4" state="visible" r:id="rId6"/>
    <sheet name="Banking Processes" sheetId="5" state="visible" r:id="rId7"/>
    <sheet name="Transaction Monitoring" sheetId="6" state="visible" r:id="rId8"/>
    <sheet name="Business Enablement" sheetId="7" state="visible" r:id="rId9"/>
    <sheet name="Timely Payments" sheetId="8" state="visible" r:id="rId10"/>
    <sheet name="Reflective 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<sst xmlns="http://schemas.openxmlformats.org/spreadsheetml/2006/main" count="68" uniqueCount="65">
  <si>
    <t xml:space="preserve">Transaction Purpose</t>
  </si>
  <si>
    <t xml:space="preserve">Transaction Amount</t>
  </si>
  <si>
    <t xml:space="preserve">Specific Requirements or Constraints</t>
  </si>
  <si>
    <t xml:space="preserve">Acquisition of MacBook Pro 14-inch (M4 Pro chip, 24GB unified memory, 1TB SSD) to enhance productivity in financial modeling, client portfolio reviews, and secure remote access for Wealth Management operations at Goldman Sachs.</t>
  </si>
  <si>
    <t xml:space="preserve">Authorized Apple Education/Professional pricing; total budget cap $2,000 incl. tax &amp; AppleCare+; must support dual external 4K monitors via Thunderbolt; delivery by May 5, 2026; 3-year AppleCare+ mandatory for device protection in client data handling.</t>
  </si>
  <si>
    <t xml:space="preserve">Income Sources</t>
  </si>
  <si>
    <t xml:space="preserve">Amount</t>
  </si>
  <si>
    <t xml:space="preserve">Primary Salary - GS Wealth Management Analyst (Net Monthly)</t>
  </si>
  <si>
    <t xml:space="preserve">Investment Portfolio Dividends &amp; Interest</t>
  </si>
  <si>
    <t xml:space="preserve">Freelance Financial Consulting (Q1 projects)</t>
  </si>
  <si>
    <t xml:space="preserve">Total Income</t>
  </si>
  <si>
    <t xml:space="preserve">Expenses</t>
  </si>
  <si>
    <t xml:space="preserve">MacBook Pro 14" M4 Pro (Base Config + Tax)</t>
  </si>
  <si>
    <t xml:space="preserve">AppleCare+ 3-Year Protection Plan</t>
  </si>
  <si>
    <t xml:space="preserve">Professional Accessories (Leather Case, Magic Mouse, USB-C Hub)</t>
  </si>
  <si>
    <t xml:space="preserve">Monthly Rent &amp; Utilities Allocation</t>
  </si>
  <si>
    <t xml:space="preserve">Groceries &amp; Household (Reduced for Budget)</t>
  </si>
  <si>
    <t xml:space="preserve">Transportation &amp; Commuting (Metro + Occasional Rideshare)</t>
  </si>
  <si>
    <t xml:space="preserve">Entertainment &amp; Dining Out (Capped)</t>
  </si>
  <si>
    <t xml:space="preserve">Total Expenses (This Period)</t>
  </si>
  <si>
    <t xml:space="preserve">Personal Budget</t>
  </si>
  <si>
    <t xml:space="preserve">Projected Expenses (Laptop + Monthly Obligations for May 2026)</t>
  </si>
  <si>
    <t xml:space="preserve">Target Savings Contribution (Emergency Fund + Retirement)</t>
  </si>
  <si>
    <t xml:space="preserve">Budget Adjustments (Reduced discretionary spending: -40% dining/entertainment; delayed vacation)</t>
  </si>
  <si>
    <t xml:space="preserve">Net Budget Position (Income - Expenses - Savings + Adj)</t>
  </si>
  <si>
    <t xml:space="preserve">Account Review</t>
  </si>
  <si>
    <t xml:space="preserve">Status</t>
  </si>
  <si>
    <t xml:space="preserve">Account Review: Comprehensive review of Chase Private Client Checking (****4821), Savings (****3920), and GS 401(k) on April 28, 2026. Verified all linked external accounts and brokerage positions.</t>
  </si>
  <si>
    <t xml:space="preserve">Completed - All accounts reconciled with zero discrepancies; balances match official statements dated 04/27/2026</t>
  </si>
  <si>
    <t xml:space="preserve">Accuracy Check: Cross-verified 47 transactions from April 1-28 against mobile app, email alerts, and paper statements. Confirmed no duplicate charges, fraudulent activity, or posting errors.</t>
  </si>
  <si>
    <t xml:space="preserve">Passed - 100% accuracy; one pending $1,799.00 authorization for Apple Inc. correctly reflected as "Pending - Professional Equipment"</t>
  </si>
  <si>
    <t xml:space="preserve">Updates Made: 1) Added new Apple Card (ending 7719) as backup payment method for large purchases. 2) Updated beneficiary info on savings account post-marriage. 3) Enabled real-time push notifications for all transactions &gt;$100.</t>
  </si>
  <si>
    <t xml:space="preserve">Executed - Confirmation emails received; new card activated and tested with $1 test transaction</t>
  </si>
  <si>
    <t xml:space="preserve">Transaction Monitoring</t>
  </si>
  <si>
    <t xml:space="preserve">Transaction Monitoring: Daily dashboard review (morning 7:30 AM &amp; evening 9:00 PM) of all accounts via Chase Mobile, GS Access, and Apple Card app. Real-time alerts configured for international, large-value, and unusual merchant activity.</t>
  </si>
  <si>
    <t xml:space="preserve">Active - Zero issues identified in monitoring period (04/20 - 04/29/2026). Laptop purchase pending authorization flagged correctly as expected high-value professional expense.</t>
  </si>
  <si>
    <t xml:space="preserve">Discrepancies Identified: None. All 12 posted transactions matched expected amounts and merchants. Pending Apple transaction shows correct hold amount and merchant name "APPLE INC."</t>
  </si>
  <si>
    <t xml:space="preserve">None - No action required; pending transaction matches quote provided by Apple Store (Order #A7823941)</t>
  </si>
  <si>
    <t xml:space="preserve">Actions Taken: 1) Set up custom alert rule: "Notify immediately for any charge &gt;$1,000 from Electronics/Computers category". 2) Categorized laptop purchase under "Professional Development - Capital Equipment" in budgeting app. 3) Exported April transaction log for tax documentation (Schedule C if applicable).</t>
  </si>
  <si>
    <t xml:space="preserve">Completed - Alerts tested successfully; categorization synced to QuickBooks Self-Employed for freelance income tracking</t>
  </si>
  <si>
    <t xml:space="preserve">Identified Inefficiencies</t>
  </si>
  <si>
    <t xml:space="preserve">Proposed Improvements</t>
  </si>
  <si>
    <t xml:space="preserve">Inefficiency 1: Weekly manual reconciliation of credit card statements into personal Excel tracker (avg. 45 min/week, high risk of transcription errors, no audit trail).</t>
  </si>
  <si>
    <t xml:space="preserve">Improvement 1: Migrated to automated integration via Plaid API between Chase/Apple Card and Monarch Money budgeting platform. Implemented rule-based auto-categorization (90%+ accuracy). Reduced reconciliation time to &lt;5 min/week with full audit logs and exportable reports for tax season.</t>
  </si>
  <si>
    <t xml:space="preserve">Inefficiency 2: Reactive approach to subscription management - discovered 3 unused services (total $47/mo) only after annual review, leading to sunk costs and cash flow leakage.</t>
  </si>
  <si>
    <t xml:space="preserve">Improvement 2: Created "Subscription Audit" recurring calendar event (first Sunday of each quarter) with pre-populated checklist from Truebill/Rocket Money export. Added "Cancel or Negotiate" decision tree. Projected annual savings: $420+ from identified redundancies (Adobe, streaming, news subs).</t>
  </si>
  <si>
    <t xml:space="preserve">Automatic Payments Setup</t>
  </si>
  <si>
    <t xml:space="preserve">Calendar Reminders &amp; Notifications</t>
  </si>
  <si>
    <t xml:space="preserve">Rent &amp; Building Amenities (Auto-debit from Chase Checking ****4821)</t>
  </si>
  <si>
    <t xml:space="preserve">Calendar: Recurring 1st of month @ 8:00 AM - Reminder set 3 days prior + confirmation SMS</t>
  </si>
  <si>
    <t xml:space="preserve">Apple Card Minimum Payment (Auto-pay full statement balance from Chase Checking)</t>
  </si>
  <si>
    <t xml:space="preserve">Calendar: 15th of each month @ 10:00 AM - Reminder 48hrs prior; linked to transaction monitoring alert</t>
  </si>
  <si>
    <t xml:space="preserve">Internet &amp; Mobile (Verizon Fios + Unlimited) - Auto-pay from Apple Card</t>
  </si>
  <si>
    <t xml:space="preserve">Calendar: 22nd of month - Reminder + usage summary review</t>
  </si>
  <si>
    <t xml:space="preserve">Gym Membership (Equinox) - Auto-debit</t>
  </si>
  <si>
    <t xml:space="preserve">Calendar: 3rd of month - Quarterly utilization reminder to justify cost</t>
  </si>
  <si>
    <t xml:space="preserve">Reflective Summary</t>
  </si>
  <si>
    <t xml:space="preserve">Details</t>
  </si>
  <si>
    <t xml:space="preserve">What Worked Well</t>
  </si>
  <si>
    <t xml:space="preserve">The structured Personal Transaction Plan provided a clear framework that mirrored institutional operational controls used in Wealth Management. Pre-authorization budget validation and real-time transaction monitoring prevented any over-spend or fraud risk on the $1,799 laptop purchase. Automation of payments and alerts significantly reduced cognitive load, allowing focus on high-value activities like client modeling. The cross-sheet budget linkage (with formulas) gave instant visibility into net position, demonstrating effective process design.</t>
  </si>
  <si>
    <t xml:space="preserve">Areas for Improvement</t>
  </si>
  <si>
    <t xml:space="preserve">Accessory costs were underestimated by ~$50 initially (required last-minute reallocation from entertainment budget). Future transactions should include a 10% contingency line item. Additionally, while banking updates were completed, the new Apple Card setup took longer than expected due to verification delays - recommend initiating large-purchase payment method changes at least 5 business days in advance.</t>
  </si>
  <si>
    <t xml:space="preserve">Key Insights and Lessons Learned</t>
  </si>
  <si>
    <t xml:space="preserve">This exercise reinforced that operational excellence in personal finance directly translates to the skills required of a Goldman Sachs Wealth Management Operations Analyst: proactive discrepancy detection, process automation for scalability, stakeholder (self/family) communication via clear documentation, and continuous improvement through root-cause analysis of inefficiencies. Managing one's own "client" (personal) portfolio with the same rigor as institutional assets builds empathy and precision for client service. The biggest takeaway: treating personal transactions with the same control environment as GS WM operations (reconciliation, exception handling, audit trails) not only prevents costly errors but creates a repeatable, auditable system that scales with career and life complexity. This reflective practice has sharpened my ability to identify, document, and optimize operational workflows - core to delivering seamless client experiences at Goldman Sachs.</t>
  </si>
  <si>
    <t xml:space="preserve">Overall Reflection Date: April 29, 2026 | Prepared by: Operations Analyst Candidate | For: Goldman Sachs Wealth Management Operations Assessment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</si>
</sst>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  <font>
      <i val="true"/>
      <sz val="10"/>
      <color rgb="FF666666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3203125" defaultRowHeight="15" zeroHeight="false" outlineLevelRow="0" outlineLevelCol="0"/>
  <cols>
    <col collapsed="false" customWidth="true" hidden="false" outlineLevel="0" max="2" min="1" style="1" width="55"/>
    <col collapsed="false" customWidth="true" hidden="false" outlineLevel="0" max="3" min="3" style="1" width="5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60" hidden="false" customHeight="true" outlineLevel="0" collapsed="false">
      <c r="A2" s="3" t="s">
        <v>3</v>
      </c>
      <c r="B2" s="4" t="n">
        <v>1799</v>
      </c>
      <c r="C2" s="3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5</v>
      </c>
      <c r="B1" s="2" t="s">
        <v>6</v>
      </c>
    </row>
    <row r="2" customFormat="false" ht="24.75" hidden="false" customHeight="true" outlineLevel="0" collapsed="false">
      <c r="A2" s="3" t="s">
        <v>7</v>
      </c>
      <c r="B2" s="4" t="n">
        <v>5200</v>
      </c>
    </row>
    <row r="3" customFormat="false" ht="24.75" hidden="false" customHeight="true" outlineLevel="0" collapsed="false">
      <c r="A3" s="3" t="s">
        <v>8</v>
      </c>
      <c r="B3" s="4" t="n">
        <v>185</v>
      </c>
    </row>
    <row r="4" customFormat="false" ht="24.75" hidden="false" customHeight="true" outlineLevel="0" collapsed="false">
      <c r="A4" s="3" t="s">
        <v>9</v>
      </c>
      <c r="B4" s="4" t="n">
        <v>650</v>
      </c>
    </row>
    <row r="5" customFormat="false" ht="24.75" hidden="false" customHeight="true" outlineLevel="0" collapsed="false">
      <c r="A5" s="5" t="s">
        <v>10</v>
      </c>
      <c r="B5" s="6" t="n">
        <f aca="false">SUM(B2:B4)</f>
        <v>6035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11</v>
      </c>
      <c r="B1" s="2" t="s">
        <v>6</v>
      </c>
    </row>
    <row r="2" customFormat="false" ht="21.75" hidden="false" customHeight="true" outlineLevel="0" collapsed="false">
      <c r="A2" s="3" t="s">
        <v>12</v>
      </c>
      <c r="B2" s="7" t="n">
        <v>1799</v>
      </c>
    </row>
    <row r="3" customFormat="false" ht="21.75" hidden="false" customHeight="true" outlineLevel="0" collapsed="false">
      <c r="A3" s="3" t="s">
        <v>13</v>
      </c>
      <c r="B3" s="7" t="n">
        <v>249</v>
      </c>
    </row>
    <row r="4" customFormat="false" ht="21.75" hidden="false" customHeight="true" outlineLevel="0" collapsed="false">
      <c r="A4" s="3" t="s">
        <v>14</v>
      </c>
      <c r="B4" s="7" t="n">
        <v>178.5</v>
      </c>
    </row>
    <row r="5" customFormat="false" ht="21.75" hidden="false" customHeight="true" outlineLevel="0" collapsed="false">
      <c r="A5" s="3" t="s">
        <v>15</v>
      </c>
      <c r="B5" s="7" t="n">
        <v>1950</v>
      </c>
    </row>
    <row r="6" customFormat="false" ht="21.75" hidden="false" customHeight="true" outlineLevel="0" collapsed="false">
      <c r="A6" s="3" t="s">
        <v>16</v>
      </c>
      <c r="B6" s="7" t="n">
        <v>420</v>
      </c>
    </row>
    <row r="7" customFormat="false" ht="21.75" hidden="false" customHeight="true" outlineLevel="0" collapsed="false">
      <c r="A7" s="3" t="s">
        <v>17</v>
      </c>
      <c r="B7" s="7" t="n">
        <v>185</v>
      </c>
    </row>
    <row r="8" customFormat="false" ht="21.75" hidden="false" customHeight="true" outlineLevel="0" collapsed="false">
      <c r="A8" s="3" t="s">
        <v>18</v>
      </c>
      <c r="B8" s="7" t="n">
        <v>150</v>
      </c>
    </row>
    <row r="9" customFormat="false" ht="21.75" hidden="false" customHeight="true" outlineLevel="0" collapsed="false">
      <c r="A9" s="5" t="s">
        <v>19</v>
      </c>
      <c r="B9" s="8" t="n">
        <f aca="false">SUM(B2:B8)</f>
        <v>4931.5</v>
      </c>
    </row>
    <row r="10" customFormat="false" ht="21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20</v>
      </c>
      <c r="B1" s="2" t="s">
        <v>6</v>
      </c>
    </row>
    <row r="2" customFormat="false" ht="34.5" hidden="false" customHeight="true" outlineLevel="0" collapsed="false">
      <c r="A2" s="3" t="s">
        <v>21</v>
      </c>
      <c r="B2" s="7" t="n">
        <v>2850</v>
      </c>
    </row>
    <row r="3" customFormat="false" ht="24.75" hidden="false" customHeight="true" outlineLevel="0" collapsed="false">
      <c r="A3" s="3" t="s">
        <v>22</v>
      </c>
      <c r="B3" s="7" t="n">
        <v>1200</v>
      </c>
    </row>
    <row r="4" customFormat="false" ht="34.5" hidden="false" customHeight="true" outlineLevel="0" collapsed="false">
      <c r="A4" s="3" t="s">
        <v>23</v>
      </c>
      <c r="B4" s="7" t="n">
        <v>-350</v>
      </c>
    </row>
    <row r="5" customFormat="false" ht="24.75" hidden="false" customHeight="true" outlineLevel="0" collapsed="false">
      <c r="A5" s="9" t="s">
        <v>24</v>
      </c>
      <c r="B5" s="10" t="n">
        <f aca="false">'Expense Tracking'!B5 - B2 - B3 + B4</f>
        <v>1635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65"/>
    <col collapsed="false" customWidth="true" hidden="false" outlineLevel="0" max="2" min="2" style="1" width="55"/>
  </cols>
  <sheetData>
    <row r="1" customFormat="false" ht="15" hidden="false" customHeight="true" outlineLevel="0" collapsed="false">
      <c r="A1" s="2" t="s">
        <v>25</v>
      </c>
      <c r="B1" s="2" t="s">
        <v>26</v>
      </c>
    </row>
    <row r="2" customFormat="false" ht="45" hidden="false" customHeight="true" outlineLevel="0" collapsed="false">
      <c r="A2" s="3" t="s">
        <v>27</v>
      </c>
      <c r="B2" s="3" t="s">
        <v>28</v>
      </c>
    </row>
    <row r="3" customFormat="false" ht="45" hidden="false" customHeight="true" outlineLevel="0" collapsed="false">
      <c r="A3" s="3" t="s">
        <v>29</v>
      </c>
      <c r="B3" s="3" t="s">
        <v>30</v>
      </c>
    </row>
    <row r="4" customFormat="false" ht="45" hidden="false" customHeight="true" outlineLevel="0" collapsed="false">
      <c r="A4" s="3" t="s">
        <v>31</v>
      </c>
      <c r="B4" s="3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65"/>
    <col collapsed="false" customWidth="true" hidden="false" outlineLevel="0" max="2" min="2" style="1" width="55"/>
  </cols>
  <sheetData>
    <row r="1" customFormat="false" ht="15" hidden="false" customHeight="true" outlineLevel="0" collapsed="false">
      <c r="A1" s="2" t="s">
        <v>33</v>
      </c>
      <c r="B1" s="2" t="s">
        <v>26</v>
      </c>
    </row>
    <row r="2" customFormat="false" ht="49.5" hidden="false" customHeight="true" outlineLevel="0" collapsed="false">
      <c r="A2" s="3" t="s">
        <v>34</v>
      </c>
      <c r="B2" s="3" t="s">
        <v>35</v>
      </c>
    </row>
    <row r="3" customFormat="false" ht="49.5" hidden="false" customHeight="true" outlineLevel="0" collapsed="false">
      <c r="A3" s="3" t="s">
        <v>36</v>
      </c>
      <c r="B3" s="3" t="s">
        <v>37</v>
      </c>
    </row>
    <row r="4" customFormat="false" ht="49.5" hidden="false" customHeight="true" outlineLevel="0" collapsed="false">
      <c r="A4" s="3" t="s">
        <v>38</v>
      </c>
      <c r="B4" s="3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60"/>
  </cols>
  <sheetData>
    <row r="1" customFormat="false" ht="15" hidden="false" customHeight="true" outlineLevel="0" collapsed="false">
      <c r="A1" s="2" t="s">
        <v>40</v>
      </c>
      <c r="B1" s="2" t="s">
        <v>41</v>
      </c>
    </row>
    <row r="2" customFormat="false" ht="54.75" hidden="false" customHeight="true" outlineLevel="0" collapsed="false">
      <c r="A2" s="3" t="s">
        <v>42</v>
      </c>
      <c r="B2" s="3" t="s">
        <v>43</v>
      </c>
    </row>
    <row r="3" customFormat="false" ht="54.75" hidden="false" customHeight="true" outlineLevel="0" collapsed="false">
      <c r="A3" s="3" t="s">
        <v>44</v>
      </c>
      <c r="B3" s="3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2" min="1" style="1" width="55"/>
  </cols>
  <sheetData>
    <row r="1" customFormat="false" ht="15" hidden="false" customHeight="true" outlineLevel="0" collapsed="false">
      <c r="A1" s="2" t="s">
        <v>46</v>
      </c>
      <c r="B1" s="2" t="s">
        <v>47</v>
      </c>
    </row>
    <row r="2" customFormat="false" ht="34.5" hidden="false" customHeight="true" outlineLevel="0" collapsed="false">
      <c r="A2" s="3" t="s">
        <v>48</v>
      </c>
      <c r="B2" s="3" t="s">
        <v>49</v>
      </c>
    </row>
    <row r="3" customFormat="false" ht="34.5" hidden="false" customHeight="true" outlineLevel="0" collapsed="false">
      <c r="A3" s="3" t="s">
        <v>50</v>
      </c>
      <c r="B3" s="3" t="s">
        <v>51</v>
      </c>
    </row>
    <row r="4" customFormat="false" ht="34.5" hidden="false" customHeight="true" outlineLevel="0" collapsed="false">
      <c r="A4" s="3" t="s">
        <v>52</v>
      </c>
      <c r="B4" s="3" t="s">
        <v>53</v>
      </c>
    </row>
    <row r="5" customFormat="false" ht="34.5" hidden="false" customHeight="true" outlineLevel="0" collapsed="false">
      <c r="A5" s="3" t="s">
        <v>54</v>
      </c>
      <c r="B5" s="3" t="s">
        <v>55</v>
      </c>
    </row>
    <row r="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5"/>
  </cols>
  <sheetData>
    <row r="1" customFormat="false" ht="21.75" hidden="false" customHeight="true" outlineLevel="0" collapsed="false">
      <c r="A1" s="11" t="s">
        <v>56</v>
      </c>
      <c r="B1" s="11" t="s">
        <v>57</v>
      </c>
    </row>
    <row r="2" customFormat="false" ht="69.75" hidden="false" customHeight="true" outlineLevel="0" collapsed="false">
      <c r="A2" s="5" t="s">
        <v>58</v>
      </c>
      <c r="B2" s="3" t="s">
        <v>59</v>
      </c>
    </row>
    <row r="3" customFormat="false" ht="54.75" hidden="false" customHeight="true" outlineLevel="0" collapsed="false">
      <c r="A3" s="5" t="s">
        <v>60</v>
      </c>
      <c r="B3" s="3" t="s">
        <v>61</v>
      </c>
    </row>
    <row r="4" customFormat="false" ht="84.75" hidden="false" customHeight="true" outlineLevel="0" collapsed="false">
      <c r="A4" s="5" t="s">
        <v>62</v>
      </c>
      <c r="B4" s="3" t="s">
        <v>63</v>
      </c>
    </row>
    <row r="5" customFormat="false" ht="21.75" hidden="false" customHeight="true" outlineLevel="0" collapsed="false">
      <c r="A5" s="12" t="s">
        <v>64</v>
      </c>
      <c r="B5" s="12"/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2024-07-23T22:58:44Z</dcterms:created>
  <dc:creator/>
  <dc:description/>
  <dc:language>en-US</dc:language>
  <cp:lastModifiedBy>Tran, Tammy</cp:lastModifiedBy>
  <dcterms:modified xsi:type="dcterms:W3CDTF">2026-04-29T19:19:16Z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